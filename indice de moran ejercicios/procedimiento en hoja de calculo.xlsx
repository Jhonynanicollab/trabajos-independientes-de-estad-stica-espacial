
<file path=[Content_Types].xml><?xml version="1.0" encoding="utf-8"?>
<Types xmlns="http://schemas.openxmlformats.org/package/2006/content-types">
  <Default Extension="bin" ContentType="application/vnd.openxmlformats-officedocument.oleObject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rist\Documents\2026\estadistica espacial\indice de moran ejercicios\"/>
    </mc:Choice>
  </mc:AlternateContent>
  <bookViews>
    <workbookView xWindow="0" yWindow="0" windowWidth="23016" windowHeight="8592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94" i="1" l="1"/>
  <c r="F92" i="1"/>
  <c r="E90" i="1"/>
  <c r="E83" i="1"/>
  <c r="E84" i="1"/>
  <c r="E85" i="1"/>
  <c r="E86" i="1"/>
  <c r="E87" i="1"/>
  <c r="E88" i="1"/>
  <c r="E89" i="1"/>
  <c r="E82" i="1"/>
  <c r="D58" i="1"/>
  <c r="E55" i="1" l="1"/>
  <c r="D52" i="1"/>
  <c r="D51" i="1"/>
  <c r="D40" i="1"/>
  <c r="D41" i="1"/>
  <c r="D42" i="1"/>
  <c r="D43" i="1"/>
  <c r="D44" i="1"/>
  <c r="D45" i="1"/>
  <c r="D46" i="1"/>
  <c r="D47" i="1"/>
  <c r="D48" i="1"/>
  <c r="D49" i="1"/>
  <c r="D50" i="1"/>
  <c r="D39" i="1"/>
  <c r="C50" i="1"/>
  <c r="C49" i="1"/>
  <c r="C48" i="1"/>
  <c r="C47" i="1"/>
  <c r="C46" i="1"/>
  <c r="C45" i="1"/>
  <c r="C44" i="1"/>
  <c r="C43" i="1"/>
  <c r="C42" i="1"/>
  <c r="C41" i="1"/>
  <c r="C40" i="1"/>
  <c r="C39" i="1"/>
  <c r="B50" i="1"/>
  <c r="B49" i="1"/>
  <c r="B48" i="1"/>
  <c r="B47" i="1"/>
  <c r="B46" i="1"/>
  <c r="B45" i="1"/>
  <c r="B44" i="1"/>
  <c r="B43" i="1"/>
  <c r="B42" i="1"/>
  <c r="B41" i="1"/>
  <c r="B40" i="1"/>
  <c r="B39" i="1"/>
  <c r="E21" i="1"/>
  <c r="E13" i="1"/>
  <c r="E14" i="1"/>
  <c r="E15" i="1"/>
  <c r="E16" i="1"/>
  <c r="E17" i="1"/>
  <c r="E18" i="1"/>
  <c r="E19" i="1"/>
  <c r="E20" i="1"/>
  <c r="E12" i="1"/>
  <c r="D13" i="1"/>
  <c r="D14" i="1"/>
  <c r="D15" i="1"/>
  <c r="D16" i="1"/>
  <c r="D17" i="1"/>
  <c r="D18" i="1"/>
  <c r="D19" i="1"/>
  <c r="D20" i="1"/>
  <c r="D12" i="1"/>
  <c r="C20" i="1"/>
  <c r="C19" i="1"/>
  <c r="C18" i="1"/>
  <c r="C17" i="1"/>
  <c r="C16" i="1"/>
  <c r="C15" i="1"/>
  <c r="C14" i="1"/>
  <c r="C13" i="1"/>
  <c r="C12" i="1"/>
  <c r="H8" i="1"/>
  <c r="G8" i="1"/>
</calcChain>
</file>

<file path=xl/sharedStrings.xml><?xml version="1.0" encoding="utf-8"?>
<sst xmlns="http://schemas.openxmlformats.org/spreadsheetml/2006/main" count="16" uniqueCount="16">
  <si>
    <t>CELDA</t>
  </si>
  <si>
    <t>Z_I</t>
  </si>
  <si>
    <t>d_i:z_i-z</t>
  </si>
  <si>
    <t>d^2_i</t>
  </si>
  <si>
    <t>Denominador</t>
  </si>
  <si>
    <t>suma de pares unicos</t>
  </si>
  <si>
    <t>numerador : 2*0.39</t>
  </si>
  <si>
    <t>METODO TORRE</t>
  </si>
  <si>
    <t>METODO REYNA</t>
  </si>
  <si>
    <t>operación</t>
  </si>
  <si>
    <t>d_i*d_j</t>
  </si>
  <si>
    <t>suma diagonal</t>
  </si>
  <si>
    <t>suma total de pares unicos</t>
  </si>
  <si>
    <t>numerador</t>
  </si>
  <si>
    <t>Existe autocorrelación espacial positiva fuerte: las parcelas vecinas (horizontal y
verticalmente) tienden a tener rendimientos similares de quinua. La estructura espacial
es clara y el uso del variograma y krigeado está plenamente justificado</t>
  </si>
  <si>
    <t>Sigue existiendo autocorrelación espacial positiva, pero de intensidad moderada.
Al incluir vecinos diagonales se incorporan pares con productos negativos que diluyen
el índice. La estructura espacial persiste y el krigeado sigue siendo adecuado.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</si>
</sst>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0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 vertical="center" wrapText="1"/>
    </xf>
    <xf numFmtId="0" fontId="0" fillId="0" borderId="3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2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emf"/><Relationship Id="rId5" Type="http://schemas.openxmlformats.org/officeDocument/2006/relationships/image" Target="../media/image5.emf"/><Relationship Id="rId10" Type="http://schemas.openxmlformats.org/officeDocument/2006/relationships/image" Target="../media/image10.emf"/><Relationship Id="rId4" Type="http://schemas.openxmlformats.org/officeDocument/2006/relationships/image" Target="../media/image4.emf"/><Relationship Id="rId9" Type="http://schemas.openxmlformats.org/officeDocument/2006/relationships/image" Target="../media/image9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655320</xdr:colOff>
          <xdr:row>6</xdr:row>
          <xdr:rowOff>114300</xdr:rowOff>
        </xdr:from>
        <xdr:to>
          <xdr:col>6</xdr:col>
          <xdr:colOff>251460</xdr:colOff>
          <xdr:row>9</xdr:row>
          <xdr:rowOff>30480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15240</xdr:colOff>
          <xdr:row>20</xdr:row>
          <xdr:rowOff>15240</xdr:rowOff>
        </xdr:from>
        <xdr:to>
          <xdr:col>3</xdr:col>
          <xdr:colOff>784860</xdr:colOff>
          <xdr:row>21</xdr:row>
          <xdr:rowOff>160020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167640</xdr:colOff>
          <xdr:row>30</xdr:row>
          <xdr:rowOff>114300</xdr:rowOff>
        </xdr:from>
        <xdr:to>
          <xdr:col>0</xdr:col>
          <xdr:colOff>723900</xdr:colOff>
          <xdr:row>32</xdr:row>
          <xdr:rowOff>22860</xdr:rowOff>
        </xdr:to>
        <xdr:sp macro="" textlink="">
          <xdr:nvSpPr>
            <xdr:cNvPr id="1027" name="Object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30</xdr:row>
          <xdr:rowOff>0</xdr:rowOff>
        </xdr:from>
        <xdr:to>
          <xdr:col>12</xdr:col>
          <xdr:colOff>586740</xdr:colOff>
          <xdr:row>31</xdr:row>
          <xdr:rowOff>114300</xdr:rowOff>
        </xdr:to>
        <xdr:sp macro="" textlink="">
          <xdr:nvSpPr>
            <xdr:cNvPr id="1028" name="Object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693420</xdr:colOff>
          <xdr:row>53</xdr:row>
          <xdr:rowOff>60960</xdr:rowOff>
        </xdr:from>
        <xdr:to>
          <xdr:col>3</xdr:col>
          <xdr:colOff>777240</xdr:colOff>
          <xdr:row>55</xdr:row>
          <xdr:rowOff>160020</xdr:rowOff>
        </xdr:to>
        <xdr:sp macro="" textlink="">
          <xdr:nvSpPr>
            <xdr:cNvPr id="1029" name="Object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777240</xdr:colOff>
          <xdr:row>56</xdr:row>
          <xdr:rowOff>45720</xdr:rowOff>
        </xdr:from>
        <xdr:to>
          <xdr:col>2</xdr:col>
          <xdr:colOff>754380</xdr:colOff>
          <xdr:row>58</xdr:row>
          <xdr:rowOff>144780</xdr:rowOff>
        </xdr:to>
        <xdr:sp macro="" textlink="">
          <xdr:nvSpPr>
            <xdr:cNvPr id="1030" name="Object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60</xdr:row>
          <xdr:rowOff>0</xdr:rowOff>
        </xdr:from>
        <xdr:to>
          <xdr:col>3</xdr:col>
          <xdr:colOff>617220</xdr:colOff>
          <xdr:row>61</xdr:row>
          <xdr:rowOff>91440</xdr:rowOff>
        </xdr:to>
        <xdr:sp macro="" textlink="">
          <xdr:nvSpPr>
            <xdr:cNvPr id="1031" name="Object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0</xdr:colOff>
          <xdr:row>70</xdr:row>
          <xdr:rowOff>0</xdr:rowOff>
        </xdr:from>
        <xdr:to>
          <xdr:col>11</xdr:col>
          <xdr:colOff>541020</xdr:colOff>
          <xdr:row>71</xdr:row>
          <xdr:rowOff>30480</xdr:rowOff>
        </xdr:to>
        <xdr:sp macro="" textlink="">
          <xdr:nvSpPr>
            <xdr:cNvPr id="1032" name="Object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213360</xdr:colOff>
          <xdr:row>69</xdr:row>
          <xdr:rowOff>137160</xdr:rowOff>
        </xdr:from>
        <xdr:to>
          <xdr:col>0</xdr:col>
          <xdr:colOff>784860</xdr:colOff>
          <xdr:row>71</xdr:row>
          <xdr:rowOff>45720</xdr:rowOff>
        </xdr:to>
        <xdr:sp macro="" textlink="">
          <xdr:nvSpPr>
            <xdr:cNvPr id="1033" name="Object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0</xdr:colOff>
          <xdr:row>91</xdr:row>
          <xdr:rowOff>0</xdr:rowOff>
        </xdr:from>
        <xdr:to>
          <xdr:col>4</xdr:col>
          <xdr:colOff>632460</xdr:colOff>
          <xdr:row>92</xdr:row>
          <xdr:rowOff>60960</xdr:rowOff>
        </xdr:to>
        <xdr:sp macro="" textlink="">
          <xdr:nvSpPr>
            <xdr:cNvPr id="1034" name="Object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95</xdr:row>
          <xdr:rowOff>0</xdr:rowOff>
        </xdr:from>
        <xdr:to>
          <xdr:col>4</xdr:col>
          <xdr:colOff>716280</xdr:colOff>
          <xdr:row>97</xdr:row>
          <xdr:rowOff>99060</xdr:rowOff>
        </xdr:to>
        <xdr:sp macro="" textlink="">
          <xdr:nvSpPr>
            <xdr:cNvPr id="1035" name="Object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167640</xdr:colOff>
          <xdr:row>98</xdr:row>
          <xdr:rowOff>144780</xdr:rowOff>
        </xdr:from>
        <xdr:to>
          <xdr:col>3</xdr:col>
          <xdr:colOff>53340</xdr:colOff>
          <xdr:row>101</xdr:row>
          <xdr:rowOff>60960</xdr:rowOff>
        </xdr:to>
        <xdr:sp macro="" textlink="">
          <xdr:nvSpPr>
            <xdr:cNvPr id="1036" name="Object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image" Target="../media/image3.emf"/><Relationship Id="rId13" Type="http://schemas.openxmlformats.org/officeDocument/2006/relationships/oleObject" Target="../embeddings/oleObject6.bin"/><Relationship Id="rId18" Type="http://schemas.openxmlformats.org/officeDocument/2006/relationships/image" Target="../media/image8.emf"/><Relationship Id="rId26" Type="http://schemas.openxmlformats.org/officeDocument/2006/relationships/image" Target="../media/image12.emf"/><Relationship Id="rId3" Type="http://schemas.openxmlformats.org/officeDocument/2006/relationships/oleObject" Target="../embeddings/oleObject1.bin"/><Relationship Id="rId21" Type="http://schemas.openxmlformats.org/officeDocument/2006/relationships/oleObject" Target="../embeddings/oleObject10.bin"/><Relationship Id="rId7" Type="http://schemas.openxmlformats.org/officeDocument/2006/relationships/oleObject" Target="../embeddings/oleObject3.bin"/><Relationship Id="rId12" Type="http://schemas.openxmlformats.org/officeDocument/2006/relationships/image" Target="../media/image5.emf"/><Relationship Id="rId17" Type="http://schemas.openxmlformats.org/officeDocument/2006/relationships/oleObject" Target="../embeddings/oleObject8.bin"/><Relationship Id="rId25" Type="http://schemas.openxmlformats.org/officeDocument/2006/relationships/oleObject" Target="../embeddings/oleObject12.bin"/><Relationship Id="rId2" Type="http://schemas.openxmlformats.org/officeDocument/2006/relationships/vmlDrawing" Target="../drawings/vmlDrawing1.vml"/><Relationship Id="rId16" Type="http://schemas.openxmlformats.org/officeDocument/2006/relationships/image" Target="../media/image7.emf"/><Relationship Id="rId20" Type="http://schemas.openxmlformats.org/officeDocument/2006/relationships/image" Target="../media/image9.emf"/><Relationship Id="rId1" Type="http://schemas.openxmlformats.org/officeDocument/2006/relationships/drawing" Target="../drawings/drawing1.xml"/><Relationship Id="rId6" Type="http://schemas.openxmlformats.org/officeDocument/2006/relationships/image" Target="../media/image2.emf"/><Relationship Id="rId11" Type="http://schemas.openxmlformats.org/officeDocument/2006/relationships/oleObject" Target="../embeddings/oleObject5.bin"/><Relationship Id="rId24" Type="http://schemas.openxmlformats.org/officeDocument/2006/relationships/image" Target="../media/image11.emf"/><Relationship Id="rId5" Type="http://schemas.openxmlformats.org/officeDocument/2006/relationships/oleObject" Target="../embeddings/oleObject2.bin"/><Relationship Id="rId15" Type="http://schemas.openxmlformats.org/officeDocument/2006/relationships/oleObject" Target="../embeddings/oleObject7.bin"/><Relationship Id="rId23" Type="http://schemas.openxmlformats.org/officeDocument/2006/relationships/oleObject" Target="../embeddings/oleObject11.bin"/><Relationship Id="rId10" Type="http://schemas.openxmlformats.org/officeDocument/2006/relationships/image" Target="../media/image4.emf"/><Relationship Id="rId19" Type="http://schemas.openxmlformats.org/officeDocument/2006/relationships/oleObject" Target="../embeddings/oleObject9.bin"/><Relationship Id="rId4" Type="http://schemas.openxmlformats.org/officeDocument/2006/relationships/image" Target="../media/image1.emf"/><Relationship Id="rId9" Type="http://schemas.openxmlformats.org/officeDocument/2006/relationships/oleObject" Target="../embeddings/oleObject4.bin"/><Relationship Id="rId14" Type="http://schemas.openxmlformats.org/officeDocument/2006/relationships/image" Target="../media/image6.emf"/><Relationship Id="rId22" Type="http://schemas.openxmlformats.org/officeDocument/2006/relationships/image" Target="../media/image10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06"/>
  <sheetViews>
    <sheetView tabSelected="1" topLeftCell="A27" workbookViewId="0">
      <selection activeCell="H94" sqref="H94"/>
    </sheetView>
  </sheetViews>
  <sheetFormatPr baseColWidth="10" defaultRowHeight="14.4" x14ac:dyDescent="0.3"/>
  <cols>
    <col min="7" max="7" width="14.5546875" customWidth="1"/>
  </cols>
  <sheetData>
    <row r="1" spans="2:8" x14ac:dyDescent="0.3">
      <c r="B1" s="11"/>
      <c r="C1" s="11"/>
      <c r="D1" s="11"/>
    </row>
    <row r="3" spans="2:8" x14ac:dyDescent="0.3">
      <c r="B3" s="1">
        <v>2.1</v>
      </c>
      <c r="C3" s="1">
        <v>2</v>
      </c>
      <c r="D3" s="1">
        <v>1.6</v>
      </c>
    </row>
    <row r="4" spans="2:8" x14ac:dyDescent="0.3">
      <c r="B4" s="1">
        <v>1.9</v>
      </c>
      <c r="C4" s="1">
        <v>1.8</v>
      </c>
      <c r="D4" s="1">
        <v>1.5</v>
      </c>
    </row>
    <row r="5" spans="2:8" x14ac:dyDescent="0.3">
      <c r="B5" s="1">
        <v>1.7</v>
      </c>
      <c r="C5" s="1">
        <v>1.4</v>
      </c>
      <c r="D5" s="1">
        <v>1.3</v>
      </c>
    </row>
    <row r="8" spans="2:8" x14ac:dyDescent="0.3">
      <c r="G8">
        <f>+B3+C3+D3+B4+C4+D4+B5+C5+D5</f>
        <v>15.3</v>
      </c>
      <c r="H8">
        <f>+G8/G9</f>
        <v>1.7000000000000002</v>
      </c>
    </row>
    <row r="9" spans="2:8" x14ac:dyDescent="0.3">
      <c r="G9">
        <v>9</v>
      </c>
    </row>
    <row r="11" spans="2:8" x14ac:dyDescent="0.3">
      <c r="B11" s="1" t="s">
        <v>0</v>
      </c>
      <c r="C11" s="1" t="s">
        <v>1</v>
      </c>
      <c r="D11" s="1" t="s">
        <v>2</v>
      </c>
      <c r="E11" s="1" t="s">
        <v>3</v>
      </c>
    </row>
    <row r="12" spans="2:8" x14ac:dyDescent="0.3">
      <c r="B12" s="1">
        <v>1</v>
      </c>
      <c r="C12" s="1">
        <f>+B3</f>
        <v>2.1</v>
      </c>
      <c r="D12" s="1">
        <f>+C12-$H$8</f>
        <v>0.39999999999999991</v>
      </c>
      <c r="E12" s="1">
        <f>+D12^2</f>
        <v>0.15999999999999992</v>
      </c>
    </row>
    <row r="13" spans="2:8" x14ac:dyDescent="0.3">
      <c r="B13" s="1">
        <v>2</v>
      </c>
      <c r="C13" s="1">
        <f>+C3</f>
        <v>2</v>
      </c>
      <c r="D13" s="1">
        <f t="shared" ref="D13:D20" si="0">+C13-$H$8</f>
        <v>0.29999999999999982</v>
      </c>
      <c r="E13" s="1">
        <f t="shared" ref="E13:E20" si="1">+D13^2</f>
        <v>8.99999999999999E-2</v>
      </c>
    </row>
    <row r="14" spans="2:8" x14ac:dyDescent="0.3">
      <c r="B14" s="1">
        <v>3</v>
      </c>
      <c r="C14" s="1">
        <f>+D3</f>
        <v>1.6</v>
      </c>
      <c r="D14" s="1">
        <f t="shared" si="0"/>
        <v>-0.10000000000000009</v>
      </c>
      <c r="E14" s="1">
        <f t="shared" si="1"/>
        <v>1.0000000000000018E-2</v>
      </c>
    </row>
    <row r="15" spans="2:8" x14ac:dyDescent="0.3">
      <c r="B15" s="1">
        <v>4</v>
      </c>
      <c r="C15" s="1">
        <f>+B4</f>
        <v>1.9</v>
      </c>
      <c r="D15" s="1">
        <f t="shared" si="0"/>
        <v>0.19999999999999973</v>
      </c>
      <c r="E15" s="1">
        <f t="shared" si="1"/>
        <v>3.9999999999999897E-2</v>
      </c>
    </row>
    <row r="16" spans="2:8" x14ac:dyDescent="0.3">
      <c r="B16" s="1">
        <v>5</v>
      </c>
      <c r="C16" s="1">
        <f>+C4</f>
        <v>1.8</v>
      </c>
      <c r="D16" s="1">
        <f t="shared" si="0"/>
        <v>9.9999999999999867E-2</v>
      </c>
      <c r="E16" s="1">
        <f t="shared" si="1"/>
        <v>9.9999999999999742E-3</v>
      </c>
    </row>
    <row r="17" spans="1:10" x14ac:dyDescent="0.3">
      <c r="B17" s="1">
        <v>6</v>
      </c>
      <c r="C17" s="1">
        <f>+D4</f>
        <v>1.5</v>
      </c>
      <c r="D17" s="1">
        <f t="shared" si="0"/>
        <v>-0.20000000000000018</v>
      </c>
      <c r="E17" s="1">
        <f t="shared" si="1"/>
        <v>4.000000000000007E-2</v>
      </c>
    </row>
    <row r="18" spans="1:10" x14ac:dyDescent="0.3">
      <c r="B18" s="1">
        <v>7</v>
      </c>
      <c r="C18" s="1">
        <f>+B5</f>
        <v>1.7</v>
      </c>
      <c r="D18" s="1">
        <f t="shared" si="0"/>
        <v>0</v>
      </c>
      <c r="E18" s="1">
        <f t="shared" si="1"/>
        <v>0</v>
      </c>
    </row>
    <row r="19" spans="1:10" x14ac:dyDescent="0.3">
      <c r="B19" s="1">
        <v>8</v>
      </c>
      <c r="C19" s="1">
        <f>+C5</f>
        <v>1.4</v>
      </c>
      <c r="D19" s="1">
        <f t="shared" si="0"/>
        <v>-0.30000000000000027</v>
      </c>
      <c r="E19" s="1">
        <f t="shared" si="1"/>
        <v>9.0000000000000163E-2</v>
      </c>
    </row>
    <row r="20" spans="1:10" x14ac:dyDescent="0.3">
      <c r="B20" s="1">
        <v>9</v>
      </c>
      <c r="C20" s="1">
        <f>+D5</f>
        <v>1.3</v>
      </c>
      <c r="D20" s="1">
        <f t="shared" si="0"/>
        <v>-0.40000000000000013</v>
      </c>
      <c r="E20" s="1">
        <f t="shared" si="1"/>
        <v>0.16000000000000011</v>
      </c>
    </row>
    <row r="21" spans="1:10" x14ac:dyDescent="0.3">
      <c r="B21" s="25" t="s">
        <v>4</v>
      </c>
      <c r="C21" s="25"/>
      <c r="D21" s="25"/>
      <c r="E21" s="13">
        <f>+SUM(E12:E20)</f>
        <v>0.60000000000000009</v>
      </c>
    </row>
    <row r="22" spans="1:10" x14ac:dyDescent="0.3">
      <c r="B22" s="25"/>
      <c r="C22" s="25"/>
      <c r="D22" s="25"/>
      <c r="E22" s="13"/>
    </row>
    <row r="26" spans="1:10" x14ac:dyDescent="0.3">
      <c r="A26" s="12" t="s">
        <v>7</v>
      </c>
      <c r="B26" s="12"/>
      <c r="C26" s="12"/>
      <c r="D26" s="12"/>
    </row>
    <row r="28" spans="1:10" x14ac:dyDescent="0.3">
      <c r="B28" s="2">
        <v>0</v>
      </c>
      <c r="C28" s="3">
        <v>1</v>
      </c>
      <c r="D28" s="3">
        <v>0</v>
      </c>
      <c r="E28" s="3">
        <v>1</v>
      </c>
      <c r="F28" s="3">
        <v>0</v>
      </c>
      <c r="G28" s="3">
        <v>0</v>
      </c>
      <c r="H28" s="3">
        <v>0</v>
      </c>
      <c r="I28" s="3">
        <v>0</v>
      </c>
      <c r="J28" s="4">
        <v>0</v>
      </c>
    </row>
    <row r="29" spans="1:10" x14ac:dyDescent="0.3">
      <c r="B29" s="5">
        <v>1</v>
      </c>
      <c r="C29" s="6">
        <v>0</v>
      </c>
      <c r="D29" s="6">
        <v>1</v>
      </c>
      <c r="E29" s="6">
        <v>0</v>
      </c>
      <c r="F29" s="6">
        <v>1</v>
      </c>
      <c r="G29" s="6">
        <v>0</v>
      </c>
      <c r="H29" s="6">
        <v>0</v>
      </c>
      <c r="I29" s="6">
        <v>0</v>
      </c>
      <c r="J29" s="7">
        <v>0</v>
      </c>
    </row>
    <row r="30" spans="1:10" x14ac:dyDescent="0.3">
      <c r="B30" s="5">
        <v>0</v>
      </c>
      <c r="C30" s="6">
        <v>1</v>
      </c>
      <c r="D30" s="6">
        <v>0</v>
      </c>
      <c r="E30" s="6">
        <v>0</v>
      </c>
      <c r="F30" s="6">
        <v>0</v>
      </c>
      <c r="G30" s="6">
        <v>1</v>
      </c>
      <c r="H30" s="6">
        <v>0</v>
      </c>
      <c r="I30" s="6">
        <v>0</v>
      </c>
      <c r="J30" s="7">
        <v>0</v>
      </c>
    </row>
    <row r="31" spans="1:10" x14ac:dyDescent="0.3">
      <c r="B31" s="5">
        <v>1</v>
      </c>
      <c r="C31" s="6">
        <v>0</v>
      </c>
      <c r="D31" s="6">
        <v>0</v>
      </c>
      <c r="E31" s="6">
        <v>0</v>
      </c>
      <c r="F31" s="6">
        <v>1</v>
      </c>
      <c r="G31" s="6">
        <v>0</v>
      </c>
      <c r="H31" s="6">
        <v>1</v>
      </c>
      <c r="I31" s="6">
        <v>0</v>
      </c>
      <c r="J31" s="7">
        <v>0</v>
      </c>
    </row>
    <row r="32" spans="1:10" x14ac:dyDescent="0.3">
      <c r="B32" s="5">
        <v>0</v>
      </c>
      <c r="C32" s="6">
        <v>1</v>
      </c>
      <c r="D32" s="6">
        <v>0</v>
      </c>
      <c r="E32" s="6">
        <v>1</v>
      </c>
      <c r="F32" s="6">
        <v>0</v>
      </c>
      <c r="G32" s="6">
        <v>1</v>
      </c>
      <c r="H32" s="6">
        <v>0</v>
      </c>
      <c r="I32" s="6">
        <v>1</v>
      </c>
      <c r="J32" s="7">
        <v>0</v>
      </c>
    </row>
    <row r="33" spans="2:10" x14ac:dyDescent="0.3">
      <c r="B33" s="5">
        <v>0</v>
      </c>
      <c r="C33" s="6">
        <v>0</v>
      </c>
      <c r="D33" s="6">
        <v>1</v>
      </c>
      <c r="E33" s="6">
        <v>0</v>
      </c>
      <c r="F33" s="6">
        <v>1</v>
      </c>
      <c r="G33" s="6">
        <v>0</v>
      </c>
      <c r="H33" s="6">
        <v>0</v>
      </c>
      <c r="I33" s="6">
        <v>0</v>
      </c>
      <c r="J33" s="7">
        <v>1</v>
      </c>
    </row>
    <row r="34" spans="2:10" x14ac:dyDescent="0.3">
      <c r="B34" s="5">
        <v>0</v>
      </c>
      <c r="C34" s="6">
        <v>0</v>
      </c>
      <c r="D34" s="6">
        <v>0</v>
      </c>
      <c r="E34" s="6">
        <v>1</v>
      </c>
      <c r="F34" s="6">
        <v>0</v>
      </c>
      <c r="G34" s="6">
        <v>0</v>
      </c>
      <c r="H34" s="6">
        <v>0</v>
      </c>
      <c r="I34" s="6">
        <v>1</v>
      </c>
      <c r="J34" s="7">
        <v>0</v>
      </c>
    </row>
    <row r="35" spans="2:10" x14ac:dyDescent="0.3">
      <c r="B35" s="5">
        <v>0</v>
      </c>
      <c r="C35" s="6">
        <v>0</v>
      </c>
      <c r="D35" s="6">
        <v>0</v>
      </c>
      <c r="E35" s="6">
        <v>0</v>
      </c>
      <c r="F35" s="6">
        <v>1</v>
      </c>
      <c r="G35" s="6">
        <v>0</v>
      </c>
      <c r="H35" s="6">
        <v>1</v>
      </c>
      <c r="I35" s="6">
        <v>0</v>
      </c>
      <c r="J35" s="7">
        <v>1</v>
      </c>
    </row>
    <row r="36" spans="2:10" x14ac:dyDescent="0.3">
      <c r="B36" s="8">
        <v>0</v>
      </c>
      <c r="C36" s="9">
        <v>0</v>
      </c>
      <c r="D36" s="9">
        <v>0</v>
      </c>
      <c r="E36" s="9">
        <v>0</v>
      </c>
      <c r="F36" s="9">
        <v>0</v>
      </c>
      <c r="G36" s="9">
        <v>1</v>
      </c>
      <c r="H36" s="9">
        <v>0</v>
      </c>
      <c r="I36" s="9">
        <v>1</v>
      </c>
      <c r="J36" s="10">
        <v>0</v>
      </c>
    </row>
    <row r="38" spans="2:10" x14ac:dyDescent="0.3">
      <c r="B38" s="1"/>
      <c r="C38" s="1"/>
      <c r="D38" s="1"/>
    </row>
    <row r="39" spans="2:10" x14ac:dyDescent="0.3">
      <c r="B39" s="1">
        <f>+D12</f>
        <v>0.39999999999999991</v>
      </c>
      <c r="C39" s="1">
        <f>+B40</f>
        <v>0.29999999999999982</v>
      </c>
      <c r="D39" s="1">
        <f>+B39*C39</f>
        <v>0.1199999999999999</v>
      </c>
    </row>
    <row r="40" spans="2:10" x14ac:dyDescent="0.3">
      <c r="B40" s="1">
        <f>+D13</f>
        <v>0.29999999999999982</v>
      </c>
      <c r="C40" s="1">
        <f>+B47</f>
        <v>-0.10000000000000009</v>
      </c>
      <c r="D40" s="1">
        <f t="shared" ref="D40:D50" si="2">+B40*C40</f>
        <v>-3.0000000000000009E-2</v>
      </c>
    </row>
    <row r="41" spans="2:10" x14ac:dyDescent="0.3">
      <c r="B41" s="1">
        <f>+D15</f>
        <v>0.19999999999999973</v>
      </c>
      <c r="C41" s="1">
        <f>+B49</f>
        <v>9.9999999999999867E-2</v>
      </c>
      <c r="D41" s="1">
        <f t="shared" si="2"/>
        <v>1.9999999999999948E-2</v>
      </c>
    </row>
    <row r="42" spans="2:10" x14ac:dyDescent="0.3">
      <c r="B42" s="1">
        <f>+D16</f>
        <v>9.9999999999999867E-2</v>
      </c>
      <c r="C42" s="1">
        <f>+B50</f>
        <v>-0.20000000000000018</v>
      </c>
      <c r="D42" s="1">
        <f t="shared" si="2"/>
        <v>-1.999999999999999E-2</v>
      </c>
    </row>
    <row r="43" spans="2:10" x14ac:dyDescent="0.3">
      <c r="B43" s="1">
        <f>+D18</f>
        <v>0</v>
      </c>
      <c r="C43" s="1">
        <f>+B44</f>
        <v>-0.30000000000000027</v>
      </c>
      <c r="D43" s="1">
        <f t="shared" si="2"/>
        <v>0</v>
      </c>
    </row>
    <row r="44" spans="2:10" x14ac:dyDescent="0.3">
      <c r="B44" s="1">
        <f>+D19</f>
        <v>-0.30000000000000027</v>
      </c>
      <c r="C44" s="1">
        <f>+D20</f>
        <v>-0.40000000000000013</v>
      </c>
      <c r="D44" s="1">
        <f t="shared" si="2"/>
        <v>0.12000000000000015</v>
      </c>
    </row>
    <row r="45" spans="2:10" x14ac:dyDescent="0.3">
      <c r="B45" s="1">
        <f t="shared" ref="B45:B50" si="3">+D12</f>
        <v>0.39999999999999991</v>
      </c>
      <c r="C45" s="1">
        <f>+B41</f>
        <v>0.19999999999999973</v>
      </c>
      <c r="D45" s="1">
        <f t="shared" si="2"/>
        <v>7.9999999999999877E-2</v>
      </c>
    </row>
    <row r="46" spans="2:10" x14ac:dyDescent="0.3">
      <c r="B46" s="1">
        <f t="shared" si="3"/>
        <v>0.29999999999999982</v>
      </c>
      <c r="C46" s="1">
        <f>+B49</f>
        <v>9.9999999999999867E-2</v>
      </c>
      <c r="D46" s="1">
        <f t="shared" si="2"/>
        <v>2.9999999999999943E-2</v>
      </c>
    </row>
    <row r="47" spans="2:10" x14ac:dyDescent="0.3">
      <c r="B47" s="1">
        <f t="shared" si="3"/>
        <v>-0.10000000000000009</v>
      </c>
      <c r="C47" s="1">
        <f>+B50</f>
        <v>-0.20000000000000018</v>
      </c>
      <c r="D47" s="1">
        <f t="shared" si="2"/>
        <v>2.0000000000000035E-2</v>
      </c>
    </row>
    <row r="48" spans="2:10" x14ac:dyDescent="0.3">
      <c r="B48" s="1">
        <f t="shared" si="3"/>
        <v>0.19999999999999973</v>
      </c>
      <c r="C48" s="1">
        <f>+B43</f>
        <v>0</v>
      </c>
      <c r="D48" s="1">
        <f t="shared" si="2"/>
        <v>0</v>
      </c>
    </row>
    <row r="49" spans="1:10" x14ac:dyDescent="0.3">
      <c r="B49" s="1">
        <f t="shared" si="3"/>
        <v>9.9999999999999867E-2</v>
      </c>
      <c r="C49" s="1">
        <f>+B44</f>
        <v>-0.30000000000000027</v>
      </c>
      <c r="D49" s="1">
        <f t="shared" si="2"/>
        <v>-2.9999999999999985E-2</v>
      </c>
    </row>
    <row r="50" spans="1:10" x14ac:dyDescent="0.3">
      <c r="B50" s="1">
        <f t="shared" si="3"/>
        <v>-0.20000000000000018</v>
      </c>
      <c r="C50" s="1">
        <f>+D20</f>
        <v>-0.40000000000000013</v>
      </c>
      <c r="D50" s="1">
        <f t="shared" si="2"/>
        <v>8.0000000000000099E-2</v>
      </c>
    </row>
    <row r="51" spans="1:10" x14ac:dyDescent="0.3">
      <c r="B51" s="13" t="s">
        <v>5</v>
      </c>
      <c r="C51" s="13"/>
      <c r="D51" s="1">
        <f>+SUM(D39:D50)</f>
        <v>0.39</v>
      </c>
    </row>
    <row r="52" spans="1:10" x14ac:dyDescent="0.3">
      <c r="B52" s="13" t="s">
        <v>6</v>
      </c>
      <c r="C52" s="13"/>
      <c r="D52" s="1">
        <f>2*D51</f>
        <v>0.78</v>
      </c>
    </row>
    <row r="53" spans="1:10" x14ac:dyDescent="0.3">
      <c r="G53" s="16" t="s">
        <v>14</v>
      </c>
      <c r="H53" s="17"/>
      <c r="I53" s="17"/>
      <c r="J53" s="18"/>
    </row>
    <row r="54" spans="1:10" x14ac:dyDescent="0.3">
      <c r="G54" s="19"/>
      <c r="H54" s="20"/>
      <c r="I54" s="20"/>
      <c r="J54" s="21"/>
    </row>
    <row r="55" spans="1:10" x14ac:dyDescent="0.3">
      <c r="E55">
        <f>0.375*1.3</f>
        <v>0.48750000000000004</v>
      </c>
      <c r="G55" s="19"/>
      <c r="H55" s="20"/>
      <c r="I55" s="20"/>
      <c r="J55" s="21"/>
    </row>
    <row r="56" spans="1:10" x14ac:dyDescent="0.3">
      <c r="G56" s="19"/>
      <c r="H56" s="20"/>
      <c r="I56" s="20"/>
      <c r="J56" s="21"/>
    </row>
    <row r="57" spans="1:10" x14ac:dyDescent="0.3">
      <c r="G57" s="19"/>
      <c r="H57" s="20"/>
      <c r="I57" s="20"/>
      <c r="J57" s="21"/>
    </row>
    <row r="58" spans="1:10" x14ac:dyDescent="0.3">
      <c r="D58">
        <f>+(-(1/8))</f>
        <v>-0.125</v>
      </c>
      <c r="G58" s="19"/>
      <c r="H58" s="20"/>
      <c r="I58" s="20"/>
      <c r="J58" s="21"/>
    </row>
    <row r="59" spans="1:10" x14ac:dyDescent="0.3">
      <c r="G59" s="22"/>
      <c r="H59" s="23"/>
      <c r="I59" s="23"/>
      <c r="J59" s="24"/>
    </row>
    <row r="64" spans="1:10" x14ac:dyDescent="0.3">
      <c r="A64" s="12" t="s">
        <v>8</v>
      </c>
      <c r="B64" s="12"/>
      <c r="C64" s="12"/>
    </row>
    <row r="67" spans="2:10" x14ac:dyDescent="0.3">
      <c r="B67">
        <v>0</v>
      </c>
      <c r="C67">
        <v>1</v>
      </c>
      <c r="D67">
        <v>0</v>
      </c>
      <c r="E67">
        <v>1</v>
      </c>
      <c r="F67">
        <v>1</v>
      </c>
      <c r="G67">
        <v>0</v>
      </c>
      <c r="H67">
        <v>0</v>
      </c>
      <c r="I67">
        <v>0</v>
      </c>
      <c r="J67">
        <v>0</v>
      </c>
    </row>
    <row r="68" spans="2:10" x14ac:dyDescent="0.3">
      <c r="B68">
        <v>1</v>
      </c>
      <c r="C68">
        <v>0</v>
      </c>
      <c r="D68">
        <v>1</v>
      </c>
      <c r="E68">
        <v>1</v>
      </c>
      <c r="F68">
        <v>1</v>
      </c>
      <c r="G68">
        <v>1</v>
      </c>
      <c r="H68">
        <v>0</v>
      </c>
      <c r="I68">
        <v>0</v>
      </c>
      <c r="J68">
        <v>0</v>
      </c>
    </row>
    <row r="69" spans="2:10" x14ac:dyDescent="0.3">
      <c r="B69">
        <v>0</v>
      </c>
      <c r="C69">
        <v>1</v>
      </c>
      <c r="D69">
        <v>0</v>
      </c>
      <c r="E69">
        <v>0</v>
      </c>
      <c r="F69">
        <v>1</v>
      </c>
      <c r="G69">
        <v>1</v>
      </c>
      <c r="H69">
        <v>0</v>
      </c>
      <c r="I69">
        <v>0</v>
      </c>
      <c r="J69">
        <v>0</v>
      </c>
    </row>
    <row r="70" spans="2:10" x14ac:dyDescent="0.3">
      <c r="B70">
        <v>1</v>
      </c>
      <c r="C70">
        <v>1</v>
      </c>
      <c r="D70">
        <v>0</v>
      </c>
      <c r="E70">
        <v>0</v>
      </c>
      <c r="F70">
        <v>1</v>
      </c>
      <c r="G70">
        <v>0</v>
      </c>
      <c r="H70">
        <v>1</v>
      </c>
      <c r="I70">
        <v>1</v>
      </c>
      <c r="J70">
        <v>0</v>
      </c>
    </row>
    <row r="71" spans="2:10" x14ac:dyDescent="0.3">
      <c r="B71">
        <v>1</v>
      </c>
      <c r="C71">
        <v>1</v>
      </c>
      <c r="D71">
        <v>1</v>
      </c>
      <c r="E71">
        <v>1</v>
      </c>
      <c r="F71">
        <v>0</v>
      </c>
      <c r="G71">
        <v>1</v>
      </c>
      <c r="H71">
        <v>1</v>
      </c>
      <c r="I71">
        <v>1</v>
      </c>
      <c r="J71">
        <v>1</v>
      </c>
    </row>
    <row r="72" spans="2:10" x14ac:dyDescent="0.3">
      <c r="B72">
        <v>0</v>
      </c>
      <c r="C72">
        <v>1</v>
      </c>
      <c r="D72">
        <v>1</v>
      </c>
      <c r="E72">
        <v>0</v>
      </c>
      <c r="F72">
        <v>1</v>
      </c>
      <c r="G72">
        <v>0</v>
      </c>
      <c r="H72">
        <v>0</v>
      </c>
      <c r="I72">
        <v>1</v>
      </c>
      <c r="J72">
        <v>1</v>
      </c>
    </row>
    <row r="73" spans="2:10" x14ac:dyDescent="0.3">
      <c r="B73">
        <v>0</v>
      </c>
      <c r="C73">
        <v>0</v>
      </c>
      <c r="D73">
        <v>0</v>
      </c>
      <c r="E73">
        <v>1</v>
      </c>
      <c r="F73">
        <v>1</v>
      </c>
      <c r="G73">
        <v>0</v>
      </c>
      <c r="H73">
        <v>0</v>
      </c>
      <c r="I73">
        <v>1</v>
      </c>
      <c r="J73">
        <v>0</v>
      </c>
    </row>
    <row r="74" spans="2:10" x14ac:dyDescent="0.3">
      <c r="B74">
        <v>0</v>
      </c>
      <c r="C74">
        <v>0</v>
      </c>
      <c r="D74">
        <v>0</v>
      </c>
      <c r="E74">
        <v>1</v>
      </c>
      <c r="F74">
        <v>1</v>
      </c>
      <c r="G74">
        <v>1</v>
      </c>
      <c r="H74">
        <v>1</v>
      </c>
      <c r="I74">
        <v>0</v>
      </c>
      <c r="J74">
        <v>1</v>
      </c>
    </row>
    <row r="75" spans="2:10" x14ac:dyDescent="0.3">
      <c r="B75">
        <v>0</v>
      </c>
      <c r="C75">
        <v>0</v>
      </c>
      <c r="D75">
        <v>0</v>
      </c>
      <c r="E75">
        <v>0</v>
      </c>
      <c r="F75">
        <v>1</v>
      </c>
      <c r="G75">
        <v>1</v>
      </c>
      <c r="H75">
        <v>0</v>
      </c>
      <c r="I75">
        <v>1</v>
      </c>
      <c r="J75">
        <v>0</v>
      </c>
    </row>
    <row r="81" spans="2:6" x14ac:dyDescent="0.3">
      <c r="C81" s="13" t="s">
        <v>9</v>
      </c>
      <c r="D81" s="13"/>
      <c r="E81" s="1" t="s">
        <v>10</v>
      </c>
    </row>
    <row r="82" spans="2:6" x14ac:dyDescent="0.3">
      <c r="C82" s="1">
        <v>0.4</v>
      </c>
      <c r="D82" s="1">
        <v>0.1</v>
      </c>
      <c r="E82" s="1">
        <f>+C82*D82</f>
        <v>4.0000000000000008E-2</v>
      </c>
    </row>
    <row r="83" spans="2:6" x14ac:dyDescent="0.3">
      <c r="C83" s="1">
        <v>0.3</v>
      </c>
      <c r="D83" s="1">
        <v>0.2</v>
      </c>
      <c r="E83" s="1">
        <f t="shared" ref="E83:E89" si="4">+C83*D83</f>
        <v>0.06</v>
      </c>
    </row>
    <row r="84" spans="2:6" x14ac:dyDescent="0.3">
      <c r="C84" s="1">
        <v>0.3</v>
      </c>
      <c r="D84" s="1">
        <v>-0.2</v>
      </c>
      <c r="E84" s="1">
        <f t="shared" si="4"/>
        <v>-0.06</v>
      </c>
    </row>
    <row r="85" spans="2:6" x14ac:dyDescent="0.3">
      <c r="C85" s="1">
        <v>-0.1</v>
      </c>
      <c r="D85" s="1">
        <v>0.1</v>
      </c>
      <c r="E85" s="1">
        <f t="shared" si="4"/>
        <v>-1.0000000000000002E-2</v>
      </c>
    </row>
    <row r="86" spans="2:6" x14ac:dyDescent="0.3">
      <c r="C86" s="1">
        <v>0.2</v>
      </c>
      <c r="D86" s="1">
        <v>-0.3</v>
      </c>
      <c r="E86" s="1">
        <f t="shared" si="4"/>
        <v>-0.06</v>
      </c>
    </row>
    <row r="87" spans="2:6" x14ac:dyDescent="0.3">
      <c r="C87" s="1">
        <v>0.1</v>
      </c>
      <c r="D87" s="1">
        <v>0</v>
      </c>
      <c r="E87" s="1">
        <f t="shared" si="4"/>
        <v>0</v>
      </c>
    </row>
    <row r="88" spans="2:6" x14ac:dyDescent="0.3">
      <c r="C88" s="1">
        <v>0.1</v>
      </c>
      <c r="D88" s="1">
        <v>-0.4</v>
      </c>
      <c r="E88" s="1">
        <f t="shared" si="4"/>
        <v>-4.0000000000000008E-2</v>
      </c>
    </row>
    <row r="89" spans="2:6" x14ac:dyDescent="0.3">
      <c r="C89" s="1">
        <v>-0.2</v>
      </c>
      <c r="D89" s="1">
        <v>-0.3</v>
      </c>
      <c r="E89" s="1">
        <f t="shared" si="4"/>
        <v>0.06</v>
      </c>
    </row>
    <row r="90" spans="2:6" x14ac:dyDescent="0.3">
      <c r="C90" s="14" t="s">
        <v>11</v>
      </c>
      <c r="D90" s="15"/>
      <c r="E90" s="1">
        <f>+SUM(E82:E89)</f>
        <v>-1.0000000000000009E-2</v>
      </c>
    </row>
    <row r="92" spans="2:6" x14ac:dyDescent="0.3">
      <c r="B92" t="s">
        <v>12</v>
      </c>
      <c r="F92">
        <f>0.39+(-0.01)</f>
        <v>0.38</v>
      </c>
    </row>
    <row r="94" spans="2:6" x14ac:dyDescent="0.3">
      <c r="D94" t="s">
        <v>13</v>
      </c>
      <c r="F94">
        <f>2*F92</f>
        <v>0.76</v>
      </c>
    </row>
    <row r="100" spans="5:9" x14ac:dyDescent="0.3">
      <c r="E100" s="26" t="s">
        <v>15</v>
      </c>
      <c r="F100" s="27"/>
      <c r="G100" s="27"/>
      <c r="H100" s="27"/>
      <c r="I100" s="28"/>
    </row>
    <row r="101" spans="5:9" x14ac:dyDescent="0.3">
      <c r="E101" s="29"/>
      <c r="F101" s="30"/>
      <c r="G101" s="30"/>
      <c r="H101" s="30"/>
      <c r="I101" s="31"/>
    </row>
    <row r="102" spans="5:9" x14ac:dyDescent="0.3">
      <c r="E102" s="29"/>
      <c r="F102" s="30"/>
      <c r="G102" s="30"/>
      <c r="H102" s="30"/>
      <c r="I102" s="31"/>
    </row>
    <row r="103" spans="5:9" x14ac:dyDescent="0.3">
      <c r="E103" s="29"/>
      <c r="F103" s="30"/>
      <c r="G103" s="30"/>
      <c r="H103" s="30"/>
      <c r="I103" s="31"/>
    </row>
    <row r="104" spans="5:9" x14ac:dyDescent="0.3">
      <c r="E104" s="29"/>
      <c r="F104" s="30"/>
      <c r="G104" s="30"/>
      <c r="H104" s="30"/>
      <c r="I104" s="31"/>
    </row>
    <row r="105" spans="5:9" x14ac:dyDescent="0.3">
      <c r="E105" s="29"/>
      <c r="F105" s="30"/>
      <c r="G105" s="30"/>
      <c r="H105" s="30"/>
      <c r="I105" s="31"/>
    </row>
    <row r="106" spans="5:9" x14ac:dyDescent="0.3">
      <c r="E106" s="32"/>
      <c r="F106" s="33"/>
      <c r="G106" s="33"/>
      <c r="H106" s="33"/>
      <c r="I106" s="34"/>
    </row>
  </sheetData>
  <mergeCells count="10">
    <mergeCell ref="E21:E22"/>
    <mergeCell ref="B21:D22"/>
    <mergeCell ref="B51:C51"/>
    <mergeCell ref="B52:C52"/>
    <mergeCell ref="A26:D26"/>
    <mergeCell ref="A64:C64"/>
    <mergeCell ref="C81:D81"/>
    <mergeCell ref="C90:D90"/>
    <mergeCell ref="G53:J59"/>
    <mergeCell ref="E100:I106"/>
  </mergeCells>
  <pageMargins left="0.7" right="0.7" top="0.75" bottom="0.75" header="0.3" footer="0.3"/>
  <drawing r:id="rId1"/>
  <legacyDrawing r:id="rId2"/>
  <oleObjects>
    <mc:AlternateContent xmlns:mc="http://schemas.openxmlformats.org/markup-compatibility/2006">
      <mc:Choice Requires="x14">
        <oleObject progId="Equation.DSMT4" shapeId="1025" r:id="rId3">
          <objectPr defaultSize="0" r:id="rId4">
            <anchor moveWithCells="1">
              <from>
                <xdr:col>1</xdr:col>
                <xdr:colOff>655320</xdr:colOff>
                <xdr:row>6</xdr:row>
                <xdr:rowOff>114300</xdr:rowOff>
              </from>
              <to>
                <xdr:col>6</xdr:col>
                <xdr:colOff>251460</xdr:colOff>
                <xdr:row>9</xdr:row>
                <xdr:rowOff>30480</xdr:rowOff>
              </to>
            </anchor>
          </objectPr>
        </oleObject>
      </mc:Choice>
      <mc:Fallback>
        <oleObject progId="Equation.DSMT4" shapeId="1025" r:id="rId3"/>
      </mc:Fallback>
    </mc:AlternateContent>
    <mc:AlternateContent xmlns:mc="http://schemas.openxmlformats.org/markup-compatibility/2006">
      <mc:Choice Requires="x14">
        <oleObject progId="Equation.DSMT4" shapeId="1026" r:id="rId5">
          <objectPr defaultSize="0" autoPict="0" r:id="rId6">
            <anchor moveWithCells="1">
              <from>
                <xdr:col>3</xdr:col>
                <xdr:colOff>15240</xdr:colOff>
                <xdr:row>20</xdr:row>
                <xdr:rowOff>15240</xdr:rowOff>
              </from>
              <to>
                <xdr:col>3</xdr:col>
                <xdr:colOff>784860</xdr:colOff>
                <xdr:row>21</xdr:row>
                <xdr:rowOff>160020</xdr:rowOff>
              </to>
            </anchor>
          </objectPr>
        </oleObject>
      </mc:Choice>
      <mc:Fallback>
        <oleObject progId="Equation.DSMT4" shapeId="1026" r:id="rId5"/>
      </mc:Fallback>
    </mc:AlternateContent>
    <mc:AlternateContent xmlns:mc="http://schemas.openxmlformats.org/markup-compatibility/2006">
      <mc:Choice Requires="x14">
        <oleObject progId="Equation.DSMT4" shapeId="1027" r:id="rId7">
          <objectPr defaultSize="0" r:id="rId8">
            <anchor moveWithCells="1">
              <from>
                <xdr:col>0</xdr:col>
                <xdr:colOff>167640</xdr:colOff>
                <xdr:row>30</xdr:row>
                <xdr:rowOff>114300</xdr:rowOff>
              </from>
              <to>
                <xdr:col>0</xdr:col>
                <xdr:colOff>723900</xdr:colOff>
                <xdr:row>32</xdr:row>
                <xdr:rowOff>22860</xdr:rowOff>
              </to>
            </anchor>
          </objectPr>
        </oleObject>
      </mc:Choice>
      <mc:Fallback>
        <oleObject progId="Equation.DSMT4" shapeId="1027" r:id="rId7"/>
      </mc:Fallback>
    </mc:AlternateContent>
    <mc:AlternateContent xmlns:mc="http://schemas.openxmlformats.org/markup-compatibility/2006">
      <mc:Choice Requires="x14">
        <oleObject progId="Equation.DSMT4" shapeId="1028" r:id="rId9">
          <objectPr defaultSize="0" r:id="rId10">
            <anchor moveWithCells="1">
              <from>
                <xdr:col>11</xdr:col>
                <xdr:colOff>0</xdr:colOff>
                <xdr:row>30</xdr:row>
                <xdr:rowOff>0</xdr:rowOff>
              </from>
              <to>
                <xdr:col>12</xdr:col>
                <xdr:colOff>586740</xdr:colOff>
                <xdr:row>31</xdr:row>
                <xdr:rowOff>114300</xdr:rowOff>
              </to>
            </anchor>
          </objectPr>
        </oleObject>
      </mc:Choice>
      <mc:Fallback>
        <oleObject progId="Equation.DSMT4" shapeId="1028" r:id="rId9"/>
      </mc:Fallback>
    </mc:AlternateContent>
    <mc:AlternateContent xmlns:mc="http://schemas.openxmlformats.org/markup-compatibility/2006">
      <mc:Choice Requires="x14">
        <oleObject progId="Equation.DSMT4" shapeId="1029" r:id="rId11">
          <objectPr defaultSize="0" r:id="rId12">
            <anchor moveWithCells="1">
              <from>
                <xdr:col>0</xdr:col>
                <xdr:colOff>693420</xdr:colOff>
                <xdr:row>53</xdr:row>
                <xdr:rowOff>60960</xdr:rowOff>
              </from>
              <to>
                <xdr:col>3</xdr:col>
                <xdr:colOff>777240</xdr:colOff>
                <xdr:row>55</xdr:row>
                <xdr:rowOff>160020</xdr:rowOff>
              </to>
            </anchor>
          </objectPr>
        </oleObject>
      </mc:Choice>
      <mc:Fallback>
        <oleObject progId="Equation.DSMT4" shapeId="1029" r:id="rId11"/>
      </mc:Fallback>
    </mc:AlternateContent>
    <mc:AlternateContent xmlns:mc="http://schemas.openxmlformats.org/markup-compatibility/2006">
      <mc:Choice Requires="x14">
        <oleObject progId="Equation.DSMT4" shapeId="1030" r:id="rId13">
          <objectPr defaultSize="0" r:id="rId14">
            <anchor moveWithCells="1">
              <from>
                <xdr:col>0</xdr:col>
                <xdr:colOff>777240</xdr:colOff>
                <xdr:row>56</xdr:row>
                <xdr:rowOff>45720</xdr:rowOff>
              </from>
              <to>
                <xdr:col>2</xdr:col>
                <xdr:colOff>754380</xdr:colOff>
                <xdr:row>58</xdr:row>
                <xdr:rowOff>144780</xdr:rowOff>
              </to>
            </anchor>
          </objectPr>
        </oleObject>
      </mc:Choice>
      <mc:Fallback>
        <oleObject progId="Equation.DSMT4" shapeId="1030" r:id="rId13"/>
      </mc:Fallback>
    </mc:AlternateContent>
    <mc:AlternateContent xmlns:mc="http://schemas.openxmlformats.org/markup-compatibility/2006">
      <mc:Choice Requires="x14">
        <oleObject progId="Equation.DSMT4" shapeId="1031" r:id="rId15">
          <objectPr defaultSize="0" r:id="rId16">
            <anchor moveWithCells="1">
              <from>
                <xdr:col>1</xdr:col>
                <xdr:colOff>0</xdr:colOff>
                <xdr:row>60</xdr:row>
                <xdr:rowOff>0</xdr:rowOff>
              </from>
              <to>
                <xdr:col>3</xdr:col>
                <xdr:colOff>617220</xdr:colOff>
                <xdr:row>61</xdr:row>
                <xdr:rowOff>91440</xdr:rowOff>
              </to>
            </anchor>
          </objectPr>
        </oleObject>
      </mc:Choice>
      <mc:Fallback>
        <oleObject progId="Equation.DSMT4" shapeId="1031" r:id="rId15"/>
      </mc:Fallback>
    </mc:AlternateContent>
    <mc:AlternateContent xmlns:mc="http://schemas.openxmlformats.org/markup-compatibility/2006">
      <mc:Choice Requires="x14">
        <oleObject progId="Equation.DSMT4" shapeId="1032" r:id="rId17">
          <objectPr defaultSize="0" r:id="rId18">
            <anchor moveWithCells="1">
              <from>
                <xdr:col>11</xdr:col>
                <xdr:colOff>0</xdr:colOff>
                <xdr:row>70</xdr:row>
                <xdr:rowOff>0</xdr:rowOff>
              </from>
              <to>
                <xdr:col>11</xdr:col>
                <xdr:colOff>541020</xdr:colOff>
                <xdr:row>71</xdr:row>
                <xdr:rowOff>30480</xdr:rowOff>
              </to>
            </anchor>
          </objectPr>
        </oleObject>
      </mc:Choice>
      <mc:Fallback>
        <oleObject progId="Equation.DSMT4" shapeId="1032" r:id="rId17"/>
      </mc:Fallback>
    </mc:AlternateContent>
    <mc:AlternateContent xmlns:mc="http://schemas.openxmlformats.org/markup-compatibility/2006">
      <mc:Choice Requires="x14">
        <oleObject progId="Equation.DSMT4" shapeId="1033" r:id="rId19">
          <objectPr defaultSize="0" r:id="rId20">
            <anchor moveWithCells="1">
              <from>
                <xdr:col>0</xdr:col>
                <xdr:colOff>213360</xdr:colOff>
                <xdr:row>69</xdr:row>
                <xdr:rowOff>137160</xdr:rowOff>
              </from>
              <to>
                <xdr:col>0</xdr:col>
                <xdr:colOff>784860</xdr:colOff>
                <xdr:row>71</xdr:row>
                <xdr:rowOff>45720</xdr:rowOff>
              </to>
            </anchor>
          </objectPr>
        </oleObject>
      </mc:Choice>
      <mc:Fallback>
        <oleObject progId="Equation.DSMT4" shapeId="1033" r:id="rId19"/>
      </mc:Fallback>
    </mc:AlternateContent>
    <mc:AlternateContent xmlns:mc="http://schemas.openxmlformats.org/markup-compatibility/2006">
      <mc:Choice Requires="x14">
        <oleObject progId="Equation.DSMT4" shapeId="1034" r:id="rId21">
          <objectPr defaultSize="0" r:id="rId22">
            <anchor moveWithCells="1">
              <from>
                <xdr:col>3</xdr:col>
                <xdr:colOff>0</xdr:colOff>
                <xdr:row>91</xdr:row>
                <xdr:rowOff>0</xdr:rowOff>
              </from>
              <to>
                <xdr:col>4</xdr:col>
                <xdr:colOff>632460</xdr:colOff>
                <xdr:row>92</xdr:row>
                <xdr:rowOff>60960</xdr:rowOff>
              </to>
            </anchor>
          </objectPr>
        </oleObject>
      </mc:Choice>
      <mc:Fallback>
        <oleObject progId="Equation.DSMT4" shapeId="1034" r:id="rId21"/>
      </mc:Fallback>
    </mc:AlternateContent>
    <mc:AlternateContent xmlns:mc="http://schemas.openxmlformats.org/markup-compatibility/2006">
      <mc:Choice Requires="x14">
        <oleObject progId="Equation.DSMT4" shapeId="1035" r:id="rId23">
          <objectPr defaultSize="0" r:id="rId24">
            <anchor moveWithCells="1">
              <from>
                <xdr:col>1</xdr:col>
                <xdr:colOff>0</xdr:colOff>
                <xdr:row>95</xdr:row>
                <xdr:rowOff>0</xdr:rowOff>
              </from>
              <to>
                <xdr:col>4</xdr:col>
                <xdr:colOff>716280</xdr:colOff>
                <xdr:row>97</xdr:row>
                <xdr:rowOff>99060</xdr:rowOff>
              </to>
            </anchor>
          </objectPr>
        </oleObject>
      </mc:Choice>
      <mc:Fallback>
        <oleObject progId="Equation.DSMT4" shapeId="1035" r:id="rId23"/>
      </mc:Fallback>
    </mc:AlternateContent>
    <mc:AlternateContent xmlns:mc="http://schemas.openxmlformats.org/markup-compatibility/2006">
      <mc:Choice Requires="x14">
        <oleObject progId="Equation.DSMT4" shapeId="1036" r:id="rId25">
          <objectPr defaultSize="0" r:id="rId26">
            <anchor moveWithCells="1">
              <from>
                <xdr:col>1</xdr:col>
                <xdr:colOff>167640</xdr:colOff>
                <xdr:row>98</xdr:row>
                <xdr:rowOff>144780</xdr:rowOff>
              </from>
              <to>
                <xdr:col>3</xdr:col>
                <xdr:colOff>53340</xdr:colOff>
                <xdr:row>101</xdr:row>
                <xdr:rowOff>60960</xdr:rowOff>
              </to>
            </anchor>
          </objectPr>
        </oleObject>
      </mc:Choice>
      <mc:Fallback>
        <oleObject progId="Equation.DSMT4" shapeId="1036" r:id="rId2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cristhiangonzalesquispe23@gmail.com</dc:creator>
  <cp:lastModifiedBy>cristhiangonzalesquispe23@gmail.com</cp:lastModifiedBy>
  <dcterms:created xsi:type="dcterms:W3CDTF">2026-06-22T21:26:23Z</dcterms:created>
  <dcterms:modified xsi:type="dcterms:W3CDTF">2026-06-24T03:26:48Z</dcterms:modified>
</cp:coreProperties>
</file>